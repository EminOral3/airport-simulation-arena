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mea\Desktop\"/>
    </mc:Choice>
  </mc:AlternateContent>
  <xr:revisionPtr revIDLastSave="0" documentId="13_ncr:1_{4C86E2C1-A192-441B-B1CB-5CEBAB802E8F}" xr6:coauthVersionLast="47" xr6:coauthVersionMax="47" xr10:uidLastSave="{00000000-0000-0000-0000-000000000000}"/>
  <bookViews>
    <workbookView xWindow="-120" yWindow="-120" windowWidth="29040" windowHeight="15840" xr2:uid="{53218AE0-F88D-426E-902C-C1FA27D83B8E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7" i="1" l="1"/>
  <c r="P28" i="1"/>
  <c r="P30" i="1"/>
  <c r="P33" i="1"/>
  <c r="P34" i="1"/>
  <c r="P35" i="1"/>
  <c r="P36" i="1"/>
  <c r="P37" i="1"/>
  <c r="P58" i="1"/>
  <c r="P59" i="1"/>
  <c r="P61" i="1"/>
  <c r="P64" i="1"/>
  <c r="P65" i="1"/>
  <c r="P66" i="1"/>
  <c r="P67" i="1"/>
  <c r="P68" i="1"/>
</calcChain>
</file>

<file path=xl/sharedStrings.xml><?xml version="1.0" encoding="utf-8"?>
<sst xmlns="http://schemas.openxmlformats.org/spreadsheetml/2006/main" count="51" uniqueCount="36">
  <si>
    <t>Interarrival Time</t>
  </si>
  <si>
    <t>Service Time</t>
  </si>
  <si>
    <t>Gülşah Ölmez (63180002)                                         Muhammed Emin Oral (63180006)
Selin Eraslan (63180039)
Serhan Karpuz (63180053)</t>
  </si>
  <si>
    <t>Passenger</t>
  </si>
  <si>
    <t>Number of Airport Personel</t>
  </si>
  <si>
    <t>STOCHASTIC DATAS</t>
  </si>
  <si>
    <t>DETERMINISTIC DATA</t>
  </si>
  <si>
    <t>FOR INTERARRIVAL TIME</t>
  </si>
  <si>
    <t>0.5 + ERLA(1.51, 2)</t>
  </si>
  <si>
    <t>Interarrival Time (ERLANG DISTRIBUTION)</t>
  </si>
  <si>
    <t>ALPHA</t>
  </si>
  <si>
    <t>BETA</t>
  </si>
  <si>
    <t>ExpoMean</t>
  </si>
  <si>
    <t>k</t>
  </si>
  <si>
    <t>Distribution:</t>
  </si>
  <si>
    <t>ERLANG</t>
  </si>
  <si>
    <t>Expression:</t>
  </si>
  <si>
    <t>Square Error:</t>
  </si>
  <si>
    <t>FOR SERVICE TIME</t>
  </si>
  <si>
    <t>GAMMA</t>
  </si>
  <si>
    <t>0.5 + GAMM(0.714, 3.08)</t>
  </si>
  <si>
    <t>0.004077</t>
  </si>
  <si>
    <t>Service Time (GAMMA DISTRIBUTION)</t>
  </si>
  <si>
    <t>Chi Square Test</t>
  </si>
  <si>
    <t xml:space="preserve">  Number of intervals</t>
  </si>
  <si>
    <t xml:space="preserve">  Degrees of freedom </t>
  </si>
  <si>
    <t xml:space="preserve">  Test Statistic     </t>
  </si>
  <si>
    <t>= 1.7</t>
  </si>
  <si>
    <t xml:space="preserve">  Corresponding p-value</t>
  </si>
  <si>
    <t>Data Summary</t>
  </si>
  <si>
    <t>Number of Data Points</t>
  </si>
  <si>
    <t xml:space="preserve">Min Data Value       </t>
  </si>
  <si>
    <t xml:space="preserve">Max Data Value       </t>
  </si>
  <si>
    <t xml:space="preserve">Sample Mean          </t>
  </si>
  <si>
    <t xml:space="preserve">Sample Std Dev       </t>
  </si>
  <si>
    <t>= 2.59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</si>
</sst>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8" borderId="8" xfId="0" applyFill="1" applyBorder="1"/>
    <xf numFmtId="0" fontId="0" fillId="8" borderId="0" xfId="0" applyFill="1" applyBorder="1"/>
    <xf numFmtId="0" fontId="0" fillId="8" borderId="9" xfId="0" applyFill="1" applyBorder="1"/>
    <xf numFmtId="0" fontId="0" fillId="0" borderId="8" xfId="0" applyFill="1" applyBorder="1"/>
    <xf numFmtId="0" fontId="0" fillId="0" borderId="0" xfId="0" applyFill="1" applyBorder="1"/>
    <xf numFmtId="0" fontId="0" fillId="0" borderId="9" xfId="0" applyFill="1" applyBorder="1"/>
    <xf numFmtId="0" fontId="0" fillId="0" borderId="0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588064</xdr:colOff>
      <xdr:row>14</xdr:row>
      <xdr:rowOff>190499</xdr:rowOff>
    </xdr:from>
    <xdr:to>
      <xdr:col>21</xdr:col>
      <xdr:colOff>66807</xdr:colOff>
      <xdr:row>24</xdr:row>
      <xdr:rowOff>57978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843D77-C614-40FF-8E57-7BECA9501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69216" y="3056282"/>
          <a:ext cx="6386439" cy="1772479"/>
        </a:xfrm>
        <a:prstGeom prst="rect">
          <a:avLst/>
        </a:prstGeom>
      </xdr:spPr>
    </xdr:pic>
    <xdr:clientData/>
  </xdr:twoCellAnchor>
  <xdr:twoCellAnchor editAs="oneCell">
    <xdr:from>
      <xdr:col>13</xdr:col>
      <xdr:colOff>579782</xdr:colOff>
      <xdr:row>46</xdr:row>
      <xdr:rowOff>52582</xdr:rowOff>
    </xdr:from>
    <xdr:to>
      <xdr:col>21</xdr:col>
      <xdr:colOff>48295</xdr:colOff>
      <xdr:row>55</xdr:row>
      <xdr:rowOff>66260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45E81-FEBF-4B1F-995B-269BADE8E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60934" y="9030930"/>
          <a:ext cx="6376209" cy="172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142D-24D7-45D6-A9D2-12C86F0F1F64}">
  <dimension ref="E1:V108"/>
  <sheetViews>
    <sheetView tabSelected="1" topLeftCell="A52" zoomScaleNormal="100" workbookViewId="0">
      <selection activeCell="L18" sqref="L18"/>
    </sheetView>
  </sheetViews>
  <sheetFormatPr defaultRowHeight="15" x14ac:dyDescent="0.25"/>
  <cols>
    <col min="5" max="5" width="7.85546875" customWidth="1"/>
    <col min="6" max="6" width="10.28515625" customWidth="1"/>
    <col min="7" max="7" width="11.5703125" customWidth="1"/>
    <col min="8" max="8" width="11.28515625" customWidth="1"/>
    <col min="9" max="9" width="10.28515625" customWidth="1"/>
    <col min="10" max="10" width="9.85546875" customWidth="1"/>
    <col min="11" max="11" width="10.140625" customWidth="1"/>
    <col min="12" max="12" width="20.140625" bestFit="1" customWidth="1"/>
    <col min="13" max="13" width="20" bestFit="1" customWidth="1"/>
    <col min="15" max="15" width="22.42578125" bestFit="1" customWidth="1"/>
    <col min="16" max="16" width="26" customWidth="1"/>
  </cols>
  <sheetData>
    <row r="1" spans="5:22" x14ac:dyDescent="0.25">
      <c r="E1" s="6" t="s">
        <v>9</v>
      </c>
      <c r="F1" s="7"/>
      <c r="G1" s="7"/>
      <c r="H1" s="8"/>
      <c r="J1" s="9" t="s">
        <v>22</v>
      </c>
      <c r="K1" s="10"/>
      <c r="L1" s="10"/>
      <c r="M1" s="11"/>
      <c r="Q1" s="4" t="s">
        <v>2</v>
      </c>
      <c r="R1" s="5"/>
      <c r="S1" s="5"/>
      <c r="T1" s="5"/>
      <c r="U1" s="5"/>
    </row>
    <row r="2" spans="5:22" ht="15.75" x14ac:dyDescent="0.25">
      <c r="E2" s="34" t="s">
        <v>12</v>
      </c>
      <c r="F2" s="34"/>
      <c r="G2" s="34">
        <v>1.51</v>
      </c>
      <c r="H2" s="34"/>
      <c r="J2" s="34" t="s">
        <v>11</v>
      </c>
      <c r="K2" s="34"/>
      <c r="L2" s="34">
        <v>0.71399999999999997</v>
      </c>
      <c r="M2" s="34"/>
      <c r="Q2" s="5"/>
      <c r="R2" s="5"/>
      <c r="S2" s="5"/>
      <c r="T2" s="5"/>
      <c r="U2" s="5"/>
    </row>
    <row r="3" spans="5:22" ht="15.75" x14ac:dyDescent="0.25">
      <c r="E3" s="34" t="s">
        <v>13</v>
      </c>
      <c r="F3" s="34"/>
      <c r="G3" s="34">
        <v>2</v>
      </c>
      <c r="H3" s="34"/>
      <c r="J3" s="34" t="s">
        <v>10</v>
      </c>
      <c r="K3" s="34"/>
      <c r="L3" s="34">
        <v>3.08</v>
      </c>
      <c r="M3" s="34"/>
      <c r="Q3" s="5"/>
      <c r="R3" s="5"/>
      <c r="S3" s="5"/>
      <c r="T3" s="5"/>
      <c r="U3" s="5"/>
    </row>
    <row r="4" spans="5:22" x14ac:dyDescent="0.25">
      <c r="Q4" s="5"/>
      <c r="R4" s="5"/>
      <c r="S4" s="5"/>
      <c r="T4" s="5"/>
      <c r="U4" s="5"/>
    </row>
    <row r="5" spans="5:22" x14ac:dyDescent="0.25">
      <c r="Q5" s="5"/>
      <c r="R5" s="5"/>
      <c r="S5" s="5"/>
      <c r="T5" s="5"/>
      <c r="U5" s="5"/>
    </row>
    <row r="6" spans="5:22" x14ac:dyDescent="0.25">
      <c r="F6" s="12" t="s">
        <v>5</v>
      </c>
      <c r="G6" s="12"/>
      <c r="H6" s="12"/>
      <c r="I6" s="12"/>
      <c r="J6" s="12"/>
      <c r="L6" s="3" t="s">
        <v>6</v>
      </c>
      <c r="Q6" s="5"/>
      <c r="R6" s="5"/>
      <c r="S6" s="5"/>
      <c r="T6" s="5"/>
      <c r="U6" s="5"/>
    </row>
    <row r="8" spans="5:22" ht="30.75" thickBot="1" x14ac:dyDescent="0.3">
      <c r="F8" s="2" t="s">
        <v>3</v>
      </c>
      <c r="G8" s="1" t="s">
        <v>0</v>
      </c>
      <c r="I8" s="1" t="s">
        <v>3</v>
      </c>
      <c r="J8" s="1" t="s">
        <v>1</v>
      </c>
      <c r="L8" s="1" t="s">
        <v>4</v>
      </c>
    </row>
    <row r="9" spans="5:22" ht="15.75" x14ac:dyDescent="0.25">
      <c r="F9" s="32">
        <v>1</v>
      </c>
      <c r="G9" s="32">
        <v>2</v>
      </c>
      <c r="I9" s="32">
        <v>1</v>
      </c>
      <c r="J9" s="32">
        <v>2</v>
      </c>
      <c r="L9" s="35">
        <v>2</v>
      </c>
      <c r="N9" s="14"/>
      <c r="O9" s="15"/>
      <c r="P9" s="15"/>
      <c r="Q9" s="15"/>
      <c r="R9" s="15"/>
      <c r="S9" s="15"/>
      <c r="T9" s="15"/>
      <c r="U9" s="15"/>
      <c r="V9" s="16"/>
    </row>
    <row r="10" spans="5:22" ht="15.75" x14ac:dyDescent="0.25">
      <c r="F10" s="32">
        <v>2</v>
      </c>
      <c r="G10" s="32">
        <v>3</v>
      </c>
      <c r="I10" s="32">
        <v>2</v>
      </c>
      <c r="J10" s="32">
        <v>3</v>
      </c>
      <c r="N10" s="17"/>
      <c r="O10" s="13" t="s">
        <v>7</v>
      </c>
      <c r="P10" s="13"/>
      <c r="Q10" s="13"/>
      <c r="R10" s="13"/>
      <c r="S10" s="18"/>
      <c r="T10" s="18"/>
      <c r="U10" s="18"/>
      <c r="V10" s="19"/>
    </row>
    <row r="11" spans="5:22" x14ac:dyDescent="0.25">
      <c r="F11" s="32">
        <v>3</v>
      </c>
      <c r="G11" s="32">
        <v>5</v>
      </c>
      <c r="I11" s="32">
        <v>3</v>
      </c>
      <c r="J11" s="32">
        <v>3</v>
      </c>
      <c r="N11" s="17"/>
      <c r="O11" s="18"/>
      <c r="P11" s="18"/>
      <c r="Q11" s="18"/>
      <c r="R11" s="18"/>
      <c r="S11" s="18"/>
      <c r="T11" s="18"/>
      <c r="U11" s="18"/>
      <c r="V11" s="19"/>
    </row>
    <row r="12" spans="5:22" x14ac:dyDescent="0.25">
      <c r="F12" s="32">
        <v>4</v>
      </c>
      <c r="G12" s="32">
        <v>2</v>
      </c>
      <c r="I12" s="32">
        <v>4</v>
      </c>
      <c r="J12" s="32">
        <v>1</v>
      </c>
      <c r="N12" s="17"/>
      <c r="O12" s="31" t="s">
        <v>14</v>
      </c>
      <c r="P12" s="31" t="s">
        <v>15</v>
      </c>
      <c r="Q12" s="18"/>
      <c r="R12" s="18"/>
      <c r="S12" s="18"/>
      <c r="T12" s="18"/>
      <c r="U12" s="18"/>
      <c r="V12" s="19"/>
    </row>
    <row r="13" spans="5:22" x14ac:dyDescent="0.25">
      <c r="F13" s="32">
        <v>5</v>
      </c>
      <c r="G13" s="32">
        <v>4</v>
      </c>
      <c r="I13" s="32">
        <v>5</v>
      </c>
      <c r="J13" s="32">
        <v>2</v>
      </c>
      <c r="N13" s="17"/>
      <c r="O13" s="31" t="s">
        <v>16</v>
      </c>
      <c r="P13" s="31" t="s">
        <v>8</v>
      </c>
      <c r="Q13" s="18"/>
      <c r="R13" s="18"/>
      <c r="S13" s="18"/>
      <c r="T13" s="18"/>
      <c r="U13" s="18"/>
      <c r="V13" s="19"/>
    </row>
    <row r="14" spans="5:22" x14ac:dyDescent="0.25">
      <c r="F14" s="32">
        <v>6</v>
      </c>
      <c r="G14" s="32">
        <v>1</v>
      </c>
      <c r="I14" s="32">
        <v>6</v>
      </c>
      <c r="J14" s="32">
        <v>3</v>
      </c>
      <c r="N14" s="17"/>
      <c r="O14" s="31" t="s">
        <v>17</v>
      </c>
      <c r="P14" s="31">
        <v>2.2529999999999998E-3</v>
      </c>
      <c r="Q14" s="18"/>
      <c r="R14" s="18"/>
      <c r="S14" s="18"/>
      <c r="T14" s="18"/>
      <c r="U14" s="18"/>
      <c r="V14" s="19"/>
    </row>
    <row r="15" spans="5:22" x14ac:dyDescent="0.25">
      <c r="F15" s="32">
        <v>7</v>
      </c>
      <c r="G15" s="32">
        <v>5</v>
      </c>
      <c r="I15" s="32">
        <v>7</v>
      </c>
      <c r="J15" s="32">
        <v>4</v>
      </c>
      <c r="N15" s="17"/>
      <c r="O15" s="18"/>
      <c r="P15" s="18"/>
      <c r="Q15" s="18"/>
      <c r="R15" s="18"/>
      <c r="S15" s="18"/>
      <c r="T15" s="18"/>
      <c r="U15" s="18"/>
      <c r="V15" s="19"/>
    </row>
    <row r="16" spans="5:22" x14ac:dyDescent="0.25">
      <c r="F16" s="32">
        <v>8</v>
      </c>
      <c r="G16" s="32">
        <v>3</v>
      </c>
      <c r="I16" s="32">
        <v>8</v>
      </c>
      <c r="J16" s="32">
        <v>5</v>
      </c>
      <c r="N16" s="17"/>
      <c r="O16" s="18"/>
      <c r="P16" s="18"/>
      <c r="Q16" s="18"/>
      <c r="R16" s="18"/>
      <c r="S16" s="18"/>
      <c r="T16" s="18"/>
      <c r="U16" s="18"/>
      <c r="V16" s="19"/>
    </row>
    <row r="17" spans="6:22" x14ac:dyDescent="0.25">
      <c r="F17" s="32">
        <v>9</v>
      </c>
      <c r="G17" s="32">
        <v>4</v>
      </c>
      <c r="I17" s="32">
        <v>9</v>
      </c>
      <c r="J17" s="32">
        <v>2</v>
      </c>
      <c r="N17" s="17"/>
      <c r="O17" s="18"/>
      <c r="P17" s="18"/>
      <c r="Q17" s="18"/>
      <c r="R17" s="18"/>
      <c r="S17" s="18"/>
      <c r="T17" s="18"/>
      <c r="U17" s="18"/>
      <c r="V17" s="19"/>
    </row>
    <row r="18" spans="6:22" x14ac:dyDescent="0.25">
      <c r="F18" s="32">
        <v>10</v>
      </c>
      <c r="G18" s="32">
        <v>6</v>
      </c>
      <c r="I18" s="32">
        <v>10</v>
      </c>
      <c r="J18" s="32">
        <v>3</v>
      </c>
      <c r="N18" s="17"/>
      <c r="O18" s="18"/>
      <c r="P18" s="18"/>
      <c r="Q18" s="18"/>
      <c r="R18" s="18"/>
      <c r="S18" s="18"/>
      <c r="T18" s="18"/>
      <c r="U18" s="18"/>
      <c r="V18" s="19"/>
    </row>
    <row r="19" spans="6:22" x14ac:dyDescent="0.25">
      <c r="F19" s="32">
        <v>11</v>
      </c>
      <c r="G19" s="32">
        <v>2</v>
      </c>
      <c r="I19" s="32">
        <v>11</v>
      </c>
      <c r="J19" s="32">
        <v>5</v>
      </c>
      <c r="N19" s="17"/>
      <c r="O19" s="18"/>
      <c r="P19" s="18"/>
      <c r="Q19" s="18"/>
      <c r="R19" s="18"/>
      <c r="S19" s="18"/>
      <c r="T19" s="18"/>
      <c r="U19" s="18"/>
      <c r="V19" s="19"/>
    </row>
    <row r="20" spans="6:22" x14ac:dyDescent="0.25">
      <c r="F20" s="32">
        <v>12</v>
      </c>
      <c r="G20" s="32">
        <v>2</v>
      </c>
      <c r="I20" s="32">
        <v>12</v>
      </c>
      <c r="J20" s="32">
        <v>2</v>
      </c>
      <c r="N20" s="17"/>
      <c r="O20" s="18"/>
      <c r="P20" s="18"/>
      <c r="Q20" s="18"/>
      <c r="R20" s="18"/>
      <c r="S20" s="18"/>
      <c r="T20" s="18"/>
      <c r="U20" s="18"/>
      <c r="V20" s="19"/>
    </row>
    <row r="21" spans="6:22" x14ac:dyDescent="0.25">
      <c r="F21" s="32">
        <v>13</v>
      </c>
      <c r="G21" s="32">
        <v>5</v>
      </c>
      <c r="I21" s="32">
        <v>13</v>
      </c>
      <c r="J21" s="32">
        <v>3</v>
      </c>
      <c r="N21" s="17"/>
      <c r="O21" s="18"/>
      <c r="P21" s="18"/>
      <c r="Q21" s="18"/>
      <c r="R21" s="18"/>
      <c r="S21" s="18"/>
      <c r="T21" s="18"/>
      <c r="U21" s="18"/>
      <c r="V21" s="19"/>
    </row>
    <row r="22" spans="6:22" x14ac:dyDescent="0.25">
      <c r="F22" s="32">
        <v>14</v>
      </c>
      <c r="G22" s="32">
        <v>7</v>
      </c>
      <c r="I22" s="32">
        <v>14</v>
      </c>
      <c r="J22" s="32">
        <v>4</v>
      </c>
      <c r="N22" s="17"/>
      <c r="O22" s="18"/>
      <c r="P22" s="18"/>
      <c r="Q22" s="18"/>
      <c r="R22" s="18"/>
      <c r="S22" s="18"/>
      <c r="T22" s="18"/>
      <c r="U22" s="18"/>
      <c r="V22" s="19"/>
    </row>
    <row r="23" spans="6:22" x14ac:dyDescent="0.25">
      <c r="F23" s="32">
        <v>15</v>
      </c>
      <c r="G23" s="32">
        <v>9</v>
      </c>
      <c r="I23" s="32">
        <v>15</v>
      </c>
      <c r="J23" s="32">
        <v>2</v>
      </c>
      <c r="N23" s="17"/>
      <c r="O23" s="18"/>
      <c r="P23" s="18"/>
      <c r="Q23" s="18"/>
      <c r="R23" s="18"/>
      <c r="S23" s="18"/>
      <c r="T23" s="18"/>
      <c r="U23" s="18"/>
      <c r="V23" s="19"/>
    </row>
    <row r="24" spans="6:22" x14ac:dyDescent="0.25">
      <c r="F24" s="32">
        <v>16</v>
      </c>
      <c r="G24" s="32">
        <v>1</v>
      </c>
      <c r="I24" s="32">
        <v>16</v>
      </c>
      <c r="J24" s="32">
        <v>7</v>
      </c>
      <c r="N24" s="17"/>
      <c r="O24" s="18"/>
      <c r="P24" s="18"/>
      <c r="Q24" s="18"/>
      <c r="R24" s="18"/>
      <c r="S24" s="18"/>
      <c r="T24" s="18"/>
      <c r="U24" s="18"/>
      <c r="V24" s="19"/>
    </row>
    <row r="25" spans="6:22" x14ac:dyDescent="0.25">
      <c r="F25" s="32">
        <v>17</v>
      </c>
      <c r="G25" s="32">
        <v>5</v>
      </c>
      <c r="I25" s="32">
        <v>17</v>
      </c>
      <c r="J25" s="32">
        <v>2</v>
      </c>
      <c r="N25" s="17"/>
      <c r="O25" s="18"/>
      <c r="P25" s="18"/>
      <c r="Q25" s="18"/>
      <c r="R25" s="18"/>
      <c r="S25" s="18"/>
      <c r="T25" s="18"/>
      <c r="U25" s="18"/>
      <c r="V25" s="19"/>
    </row>
    <row r="26" spans="6:22" x14ac:dyDescent="0.25">
      <c r="F26" s="32">
        <v>18</v>
      </c>
      <c r="G26" s="32">
        <v>4</v>
      </c>
      <c r="I26" s="32">
        <v>18</v>
      </c>
      <c r="J26" s="32">
        <v>1</v>
      </c>
      <c r="N26" s="26"/>
      <c r="O26" s="30" t="s">
        <v>23</v>
      </c>
      <c r="P26" s="30"/>
      <c r="Q26" s="27"/>
      <c r="R26" s="27"/>
      <c r="S26" s="27"/>
      <c r="T26" s="27"/>
      <c r="U26" s="27"/>
      <c r="V26" s="28"/>
    </row>
    <row r="27" spans="6:22" x14ac:dyDescent="0.25">
      <c r="F27" s="32">
        <v>19</v>
      </c>
      <c r="G27" s="32">
        <v>2</v>
      </c>
      <c r="I27" s="32">
        <v>19</v>
      </c>
      <c r="J27" s="32">
        <v>3</v>
      </c>
      <c r="N27" s="26"/>
      <c r="O27" s="33" t="s">
        <v>24</v>
      </c>
      <c r="P27" s="33">
        <f xml:space="preserve"> 6</f>
        <v>6</v>
      </c>
      <c r="Q27" s="27"/>
      <c r="R27" s="27"/>
      <c r="S27" s="27"/>
      <c r="T27" s="27"/>
      <c r="U27" s="27"/>
      <c r="V27" s="28"/>
    </row>
    <row r="28" spans="6:22" x14ac:dyDescent="0.25">
      <c r="F28" s="32">
        <v>20</v>
      </c>
      <c r="G28" s="32">
        <v>6</v>
      </c>
      <c r="I28" s="32">
        <v>20</v>
      </c>
      <c r="J28" s="32">
        <v>2</v>
      </c>
      <c r="N28" s="17"/>
      <c r="O28" s="33" t="s">
        <v>25</v>
      </c>
      <c r="P28" s="33">
        <f xml:space="preserve"> 3</f>
        <v>3</v>
      </c>
      <c r="Q28" s="18"/>
      <c r="R28" s="18"/>
      <c r="S28" s="18"/>
      <c r="T28" s="18"/>
      <c r="U28" s="18"/>
      <c r="V28" s="19"/>
    </row>
    <row r="29" spans="6:22" x14ac:dyDescent="0.25">
      <c r="F29" s="32">
        <v>21</v>
      </c>
      <c r="G29" s="32">
        <v>8</v>
      </c>
      <c r="I29" s="32">
        <v>21</v>
      </c>
      <c r="J29" s="32">
        <v>2</v>
      </c>
      <c r="N29" s="17"/>
      <c r="O29" s="33" t="s">
        <v>26</v>
      </c>
      <c r="P29" s="33" t="s">
        <v>35</v>
      </c>
      <c r="Q29" s="18"/>
      <c r="R29" s="18"/>
      <c r="S29" s="18"/>
      <c r="T29" s="18"/>
      <c r="U29" s="18"/>
      <c r="V29" s="19"/>
    </row>
    <row r="30" spans="6:22" x14ac:dyDescent="0.25">
      <c r="F30" s="32">
        <v>22</v>
      </c>
      <c r="G30" s="32">
        <v>6</v>
      </c>
      <c r="I30" s="32">
        <v>22</v>
      </c>
      <c r="J30" s="32">
        <v>4</v>
      </c>
      <c r="N30" s="17"/>
      <c r="O30" s="33" t="s">
        <v>28</v>
      </c>
      <c r="P30" s="33">
        <f xml:space="preserve"> 0.467</f>
        <v>0.46700000000000003</v>
      </c>
      <c r="Q30" s="18"/>
      <c r="R30" s="18"/>
      <c r="S30" s="18"/>
      <c r="T30" s="18"/>
      <c r="U30" s="18"/>
      <c r="V30" s="19"/>
    </row>
    <row r="31" spans="6:22" x14ac:dyDescent="0.25">
      <c r="F31" s="32">
        <v>23</v>
      </c>
      <c r="G31" s="32">
        <v>2</v>
      </c>
      <c r="I31" s="32">
        <v>23</v>
      </c>
      <c r="J31" s="32">
        <v>4</v>
      </c>
      <c r="N31" s="17"/>
      <c r="O31" s="18"/>
      <c r="P31" s="18"/>
      <c r="Q31" s="18"/>
      <c r="R31" s="18"/>
      <c r="S31" s="18"/>
      <c r="T31" s="18"/>
      <c r="U31" s="18"/>
      <c r="V31" s="19"/>
    </row>
    <row r="32" spans="6:22" x14ac:dyDescent="0.25">
      <c r="F32" s="32">
        <v>24</v>
      </c>
      <c r="G32" s="32">
        <v>3</v>
      </c>
      <c r="I32" s="32">
        <v>24</v>
      </c>
      <c r="J32" s="32">
        <v>3</v>
      </c>
      <c r="N32" s="17"/>
      <c r="O32" s="30" t="s">
        <v>29</v>
      </c>
      <c r="P32" s="30"/>
      <c r="Q32" s="18"/>
      <c r="R32" s="18"/>
      <c r="S32" s="18"/>
      <c r="T32" s="18"/>
      <c r="U32" s="18"/>
      <c r="V32" s="19"/>
    </row>
    <row r="33" spans="6:22" x14ac:dyDescent="0.25">
      <c r="F33" s="32">
        <v>25</v>
      </c>
      <c r="G33" s="32">
        <v>3</v>
      </c>
      <c r="I33" s="32">
        <v>25</v>
      </c>
      <c r="J33" s="32">
        <v>3</v>
      </c>
      <c r="N33" s="17"/>
      <c r="O33" s="33" t="s">
        <v>30</v>
      </c>
      <c r="P33" s="33">
        <f xml:space="preserve"> 100</f>
        <v>100</v>
      </c>
      <c r="Q33" s="18"/>
      <c r="R33" s="18"/>
      <c r="S33" s="18"/>
      <c r="T33" s="18"/>
      <c r="U33" s="18"/>
      <c r="V33" s="19"/>
    </row>
    <row r="34" spans="6:22" x14ac:dyDescent="0.25">
      <c r="F34" s="32">
        <v>26</v>
      </c>
      <c r="G34" s="32">
        <v>1</v>
      </c>
      <c r="I34" s="32">
        <v>26</v>
      </c>
      <c r="J34" s="32">
        <v>2</v>
      </c>
      <c r="N34" s="17"/>
      <c r="O34" s="33" t="s">
        <v>31</v>
      </c>
      <c r="P34" s="33">
        <f xml:space="preserve"> 1</f>
        <v>1</v>
      </c>
      <c r="Q34" s="18"/>
      <c r="R34" s="18"/>
      <c r="S34" s="18"/>
      <c r="T34" s="18"/>
      <c r="U34" s="18"/>
      <c r="V34" s="19"/>
    </row>
    <row r="35" spans="6:22" x14ac:dyDescent="0.25">
      <c r="F35" s="32">
        <v>27</v>
      </c>
      <c r="G35" s="32">
        <v>1</v>
      </c>
      <c r="I35" s="32">
        <v>27</v>
      </c>
      <c r="J35" s="32">
        <v>2</v>
      </c>
      <c r="N35" s="17"/>
      <c r="O35" s="33" t="s">
        <v>32</v>
      </c>
      <c r="P35" s="33">
        <f xml:space="preserve"> 9</f>
        <v>9</v>
      </c>
      <c r="Q35" s="18"/>
      <c r="R35" s="18"/>
      <c r="S35" s="18"/>
      <c r="T35" s="18"/>
      <c r="U35" s="18"/>
      <c r="V35" s="19"/>
    </row>
    <row r="36" spans="6:22" x14ac:dyDescent="0.25">
      <c r="F36" s="32">
        <v>28</v>
      </c>
      <c r="G36" s="32">
        <v>2</v>
      </c>
      <c r="I36" s="32">
        <v>28</v>
      </c>
      <c r="J36" s="32">
        <v>2</v>
      </c>
      <c r="N36" s="17"/>
      <c r="O36" s="33" t="s">
        <v>33</v>
      </c>
      <c r="P36" s="33">
        <f xml:space="preserve"> 3.53</f>
        <v>3.53</v>
      </c>
      <c r="Q36" s="18"/>
      <c r="R36" s="18"/>
      <c r="S36" s="18"/>
      <c r="T36" s="18"/>
      <c r="U36" s="18"/>
      <c r="V36" s="19"/>
    </row>
    <row r="37" spans="6:22" x14ac:dyDescent="0.25">
      <c r="F37" s="32">
        <v>29</v>
      </c>
      <c r="G37" s="32">
        <v>5</v>
      </c>
      <c r="I37" s="32">
        <v>29</v>
      </c>
      <c r="J37" s="32">
        <v>5</v>
      </c>
      <c r="N37" s="17"/>
      <c r="O37" s="33" t="s">
        <v>34</v>
      </c>
      <c r="P37" s="33">
        <f xml:space="preserve"> 1.93</f>
        <v>1.93</v>
      </c>
      <c r="Q37" s="18"/>
      <c r="R37" s="18"/>
      <c r="S37" s="18"/>
      <c r="T37" s="18"/>
      <c r="U37" s="18"/>
      <c r="V37" s="19"/>
    </row>
    <row r="38" spans="6:22" x14ac:dyDescent="0.25">
      <c r="F38" s="32">
        <v>30</v>
      </c>
      <c r="G38" s="32">
        <v>4</v>
      </c>
      <c r="I38" s="32">
        <v>30</v>
      </c>
      <c r="J38" s="32">
        <v>4</v>
      </c>
      <c r="N38" s="17"/>
      <c r="O38" s="18"/>
      <c r="P38" s="18"/>
      <c r="Q38" s="18"/>
      <c r="R38" s="18"/>
      <c r="S38" s="18"/>
      <c r="T38" s="18"/>
      <c r="U38" s="18"/>
      <c r="V38" s="19"/>
    </row>
    <row r="39" spans="6:22" x14ac:dyDescent="0.25">
      <c r="F39" s="32">
        <v>31</v>
      </c>
      <c r="G39" s="32">
        <v>6</v>
      </c>
      <c r="I39" s="32">
        <v>31</v>
      </c>
      <c r="J39" s="32">
        <v>1</v>
      </c>
      <c r="N39" s="23"/>
      <c r="O39" s="24"/>
      <c r="P39" s="24"/>
      <c r="Q39" s="24"/>
      <c r="R39" s="24"/>
      <c r="S39" s="24"/>
      <c r="T39" s="24"/>
      <c r="U39" s="24"/>
      <c r="V39" s="25"/>
    </row>
    <row r="40" spans="6:22" x14ac:dyDescent="0.25">
      <c r="F40" s="32">
        <v>32</v>
      </c>
      <c r="G40" s="32">
        <v>7</v>
      </c>
      <c r="I40" s="32">
        <v>32</v>
      </c>
      <c r="J40" s="32">
        <v>2</v>
      </c>
      <c r="N40" s="17"/>
      <c r="O40" s="18"/>
      <c r="P40" s="18"/>
      <c r="Q40" s="18"/>
      <c r="R40" s="18"/>
      <c r="S40" s="18"/>
      <c r="T40" s="18"/>
      <c r="U40" s="18"/>
      <c r="V40" s="19"/>
    </row>
    <row r="41" spans="6:22" ht="15.75" x14ac:dyDescent="0.25">
      <c r="F41" s="32">
        <v>33</v>
      </c>
      <c r="G41" s="32">
        <v>8</v>
      </c>
      <c r="I41" s="32">
        <v>33</v>
      </c>
      <c r="J41" s="32">
        <v>3</v>
      </c>
      <c r="N41" s="17"/>
      <c r="O41" s="13" t="s">
        <v>18</v>
      </c>
      <c r="P41" s="13"/>
      <c r="Q41" s="13"/>
      <c r="R41" s="13"/>
      <c r="S41" s="18"/>
      <c r="T41" s="18"/>
      <c r="U41" s="18"/>
      <c r="V41" s="19"/>
    </row>
    <row r="42" spans="6:22" x14ac:dyDescent="0.25">
      <c r="F42" s="32">
        <v>34</v>
      </c>
      <c r="G42" s="32">
        <v>2</v>
      </c>
      <c r="I42" s="32">
        <v>34</v>
      </c>
      <c r="J42" s="32">
        <v>2</v>
      </c>
      <c r="N42" s="17"/>
      <c r="O42" s="18"/>
      <c r="P42" s="18"/>
      <c r="Q42" s="18"/>
      <c r="R42" s="18"/>
      <c r="S42" s="18"/>
      <c r="T42" s="18"/>
      <c r="U42" s="18"/>
      <c r="V42" s="19"/>
    </row>
    <row r="43" spans="6:22" x14ac:dyDescent="0.25">
      <c r="F43" s="32">
        <v>35</v>
      </c>
      <c r="G43" s="32">
        <v>6</v>
      </c>
      <c r="I43" s="32">
        <v>35</v>
      </c>
      <c r="J43" s="32">
        <v>4</v>
      </c>
      <c r="N43" s="17"/>
      <c r="O43" s="31" t="s">
        <v>14</v>
      </c>
      <c r="P43" s="31" t="s">
        <v>19</v>
      </c>
      <c r="Q43" s="18"/>
      <c r="R43" s="18"/>
      <c r="S43" s="18"/>
      <c r="T43" s="18"/>
      <c r="U43" s="18"/>
      <c r="V43" s="19"/>
    </row>
    <row r="44" spans="6:22" x14ac:dyDescent="0.25">
      <c r="F44" s="32">
        <v>36</v>
      </c>
      <c r="G44" s="32">
        <v>7</v>
      </c>
      <c r="I44" s="32">
        <v>36</v>
      </c>
      <c r="J44" s="32">
        <v>2</v>
      </c>
      <c r="N44" s="17"/>
      <c r="O44" s="31" t="s">
        <v>16</v>
      </c>
      <c r="P44" s="31" t="s">
        <v>20</v>
      </c>
      <c r="Q44" s="18"/>
      <c r="R44" s="18"/>
      <c r="S44" s="18"/>
      <c r="T44" s="18"/>
      <c r="U44" s="18"/>
      <c r="V44" s="19"/>
    </row>
    <row r="45" spans="6:22" x14ac:dyDescent="0.25">
      <c r="F45" s="32">
        <v>37</v>
      </c>
      <c r="G45" s="32">
        <v>3</v>
      </c>
      <c r="I45" s="32">
        <v>37</v>
      </c>
      <c r="J45" s="32">
        <v>3</v>
      </c>
      <c r="N45" s="17"/>
      <c r="O45" s="31" t="s">
        <v>17</v>
      </c>
      <c r="P45" s="31" t="s">
        <v>21</v>
      </c>
      <c r="Q45" s="18"/>
      <c r="R45" s="18"/>
      <c r="S45" s="18"/>
      <c r="T45" s="18"/>
      <c r="U45" s="18"/>
      <c r="V45" s="19"/>
    </row>
    <row r="46" spans="6:22" x14ac:dyDescent="0.25">
      <c r="F46" s="32">
        <v>38</v>
      </c>
      <c r="G46" s="32">
        <v>2</v>
      </c>
      <c r="I46" s="32">
        <v>38</v>
      </c>
      <c r="J46" s="32">
        <v>2</v>
      </c>
      <c r="N46" s="17"/>
      <c r="O46" s="18"/>
      <c r="P46" s="18"/>
      <c r="Q46" s="18"/>
      <c r="R46" s="18"/>
      <c r="S46" s="18"/>
      <c r="T46" s="18"/>
      <c r="U46" s="18"/>
      <c r="V46" s="19"/>
    </row>
    <row r="47" spans="6:22" x14ac:dyDescent="0.25">
      <c r="F47" s="32">
        <v>39</v>
      </c>
      <c r="G47" s="32">
        <v>1</v>
      </c>
      <c r="I47" s="32">
        <v>39</v>
      </c>
      <c r="J47" s="32">
        <v>5</v>
      </c>
      <c r="N47" s="17"/>
      <c r="O47" s="18"/>
      <c r="P47" s="18"/>
      <c r="Q47" s="18"/>
      <c r="R47" s="18"/>
      <c r="S47" s="18"/>
      <c r="T47" s="18"/>
      <c r="U47" s="18"/>
      <c r="V47" s="19"/>
    </row>
    <row r="48" spans="6:22" x14ac:dyDescent="0.25">
      <c r="F48" s="32">
        <v>40</v>
      </c>
      <c r="G48" s="32">
        <v>2</v>
      </c>
      <c r="I48" s="32">
        <v>40</v>
      </c>
      <c r="J48" s="32">
        <v>2</v>
      </c>
      <c r="N48" s="17"/>
      <c r="O48" s="18"/>
      <c r="P48" s="18"/>
      <c r="Q48" s="18"/>
      <c r="R48" s="18"/>
      <c r="S48" s="18"/>
      <c r="T48" s="18"/>
      <c r="U48" s="18"/>
      <c r="V48" s="19"/>
    </row>
    <row r="49" spans="6:22" x14ac:dyDescent="0.25">
      <c r="F49" s="32">
        <v>41</v>
      </c>
      <c r="G49" s="32">
        <v>2</v>
      </c>
      <c r="I49" s="32">
        <v>41</v>
      </c>
      <c r="J49" s="32">
        <v>3</v>
      </c>
      <c r="N49" s="17"/>
      <c r="O49" s="18"/>
      <c r="P49" s="18"/>
      <c r="Q49" s="18"/>
      <c r="R49" s="18"/>
      <c r="S49" s="18"/>
      <c r="T49" s="18"/>
      <c r="U49" s="18"/>
      <c r="V49" s="19"/>
    </row>
    <row r="50" spans="6:22" x14ac:dyDescent="0.25">
      <c r="F50" s="32">
        <v>42</v>
      </c>
      <c r="G50" s="32">
        <v>3</v>
      </c>
      <c r="I50" s="32">
        <v>42</v>
      </c>
      <c r="J50" s="32">
        <v>1</v>
      </c>
      <c r="N50" s="17"/>
      <c r="O50" s="18"/>
      <c r="P50" s="18"/>
      <c r="Q50" s="18"/>
      <c r="R50" s="18"/>
      <c r="S50" s="18"/>
      <c r="T50" s="18"/>
      <c r="U50" s="18"/>
      <c r="V50" s="19"/>
    </row>
    <row r="51" spans="6:22" x14ac:dyDescent="0.25">
      <c r="F51" s="32">
        <v>43</v>
      </c>
      <c r="G51" s="32">
        <v>4</v>
      </c>
      <c r="I51" s="32">
        <v>43</v>
      </c>
      <c r="J51" s="32">
        <v>1</v>
      </c>
      <c r="N51" s="17"/>
      <c r="O51" s="18"/>
      <c r="P51" s="18"/>
      <c r="Q51" s="18"/>
      <c r="R51" s="18"/>
      <c r="S51" s="18"/>
      <c r="T51" s="18"/>
      <c r="U51" s="18"/>
      <c r="V51" s="19"/>
    </row>
    <row r="52" spans="6:22" x14ac:dyDescent="0.25">
      <c r="F52" s="32">
        <v>44</v>
      </c>
      <c r="G52" s="32">
        <v>3</v>
      </c>
      <c r="I52" s="32">
        <v>44</v>
      </c>
      <c r="J52" s="32">
        <v>2</v>
      </c>
      <c r="N52" s="17"/>
      <c r="O52" s="18"/>
      <c r="P52" s="18"/>
      <c r="Q52" s="18"/>
      <c r="R52" s="18"/>
      <c r="S52" s="18"/>
      <c r="T52" s="18"/>
      <c r="U52" s="18"/>
      <c r="V52" s="19"/>
    </row>
    <row r="53" spans="6:22" x14ac:dyDescent="0.25">
      <c r="F53" s="32">
        <v>45</v>
      </c>
      <c r="G53" s="32">
        <v>4</v>
      </c>
      <c r="I53" s="32">
        <v>45</v>
      </c>
      <c r="J53" s="32">
        <v>2</v>
      </c>
      <c r="N53" s="17"/>
      <c r="O53" s="18"/>
      <c r="P53" s="18"/>
      <c r="Q53" s="18"/>
      <c r="R53" s="18"/>
      <c r="S53" s="18"/>
      <c r="T53" s="18"/>
      <c r="U53" s="18"/>
      <c r="V53" s="19"/>
    </row>
    <row r="54" spans="6:22" x14ac:dyDescent="0.25">
      <c r="F54" s="32">
        <v>46</v>
      </c>
      <c r="G54" s="32">
        <v>5</v>
      </c>
      <c r="I54" s="32">
        <v>46</v>
      </c>
      <c r="J54" s="32">
        <v>3</v>
      </c>
      <c r="N54" s="17"/>
      <c r="O54" s="18"/>
      <c r="P54" s="18"/>
      <c r="Q54" s="18"/>
      <c r="R54" s="18"/>
      <c r="S54" s="18"/>
      <c r="T54" s="18"/>
      <c r="U54" s="18"/>
      <c r="V54" s="19"/>
    </row>
    <row r="55" spans="6:22" x14ac:dyDescent="0.25">
      <c r="F55" s="32">
        <v>47</v>
      </c>
      <c r="G55" s="32">
        <v>6</v>
      </c>
      <c r="I55" s="32">
        <v>47</v>
      </c>
      <c r="J55" s="32">
        <v>4</v>
      </c>
      <c r="N55" s="17"/>
      <c r="O55" s="18"/>
      <c r="P55" s="18"/>
      <c r="Q55" s="18"/>
      <c r="R55" s="18"/>
      <c r="S55" s="18"/>
      <c r="T55" s="18"/>
      <c r="U55" s="18"/>
      <c r="V55" s="19"/>
    </row>
    <row r="56" spans="6:22" x14ac:dyDescent="0.25">
      <c r="F56" s="32">
        <v>48</v>
      </c>
      <c r="G56" s="32">
        <v>5</v>
      </c>
      <c r="I56" s="32">
        <v>48</v>
      </c>
      <c r="J56" s="32">
        <v>2</v>
      </c>
      <c r="N56" s="17"/>
      <c r="O56" s="18"/>
      <c r="P56" s="18"/>
      <c r="Q56" s="18"/>
      <c r="R56" s="18"/>
      <c r="S56" s="18"/>
      <c r="T56" s="18"/>
      <c r="U56" s="18"/>
      <c r="V56" s="19"/>
    </row>
    <row r="57" spans="6:22" x14ac:dyDescent="0.25">
      <c r="F57" s="32">
        <v>49</v>
      </c>
      <c r="G57" s="32">
        <v>2</v>
      </c>
      <c r="I57" s="32">
        <v>49</v>
      </c>
      <c r="J57" s="32">
        <v>3</v>
      </c>
      <c r="N57" s="17"/>
      <c r="O57" s="30" t="s">
        <v>23</v>
      </c>
      <c r="P57" s="30"/>
      <c r="Q57" s="18"/>
      <c r="R57" s="18"/>
      <c r="S57" s="18"/>
      <c r="T57" s="18"/>
      <c r="U57" s="18"/>
      <c r="V57" s="19"/>
    </row>
    <row r="58" spans="6:22" x14ac:dyDescent="0.25">
      <c r="F58" s="32">
        <v>50</v>
      </c>
      <c r="G58" s="32">
        <v>3</v>
      </c>
      <c r="I58" s="32">
        <v>50</v>
      </c>
      <c r="J58" s="32">
        <v>3</v>
      </c>
      <c r="N58" s="17"/>
      <c r="O58" s="32" t="s">
        <v>24</v>
      </c>
      <c r="P58" s="32">
        <f xml:space="preserve"> 4</f>
        <v>4</v>
      </c>
      <c r="Q58" s="18"/>
      <c r="R58" s="18"/>
      <c r="S58" s="18"/>
      <c r="T58" s="18"/>
      <c r="U58" s="18"/>
      <c r="V58" s="19"/>
    </row>
    <row r="59" spans="6:22" x14ac:dyDescent="0.25">
      <c r="F59" s="32">
        <v>51</v>
      </c>
      <c r="G59" s="32">
        <v>1</v>
      </c>
      <c r="I59" s="32">
        <v>51</v>
      </c>
      <c r="J59" s="32">
        <v>1</v>
      </c>
      <c r="N59" s="17"/>
      <c r="O59" s="32" t="s">
        <v>25</v>
      </c>
      <c r="P59" s="32">
        <f xml:space="preserve"> 1</f>
        <v>1</v>
      </c>
      <c r="Q59" s="18"/>
      <c r="R59" s="18"/>
      <c r="S59" s="18"/>
      <c r="T59" s="18"/>
      <c r="U59" s="18"/>
      <c r="V59" s="19"/>
    </row>
    <row r="60" spans="6:22" x14ac:dyDescent="0.25">
      <c r="F60" s="32">
        <v>52</v>
      </c>
      <c r="G60" s="32">
        <v>1</v>
      </c>
      <c r="I60" s="32">
        <v>52</v>
      </c>
      <c r="J60" s="32">
        <v>2</v>
      </c>
      <c r="N60" s="17"/>
      <c r="O60" s="32" t="s">
        <v>26</v>
      </c>
      <c r="P60" s="32" t="s">
        <v>27</v>
      </c>
      <c r="Q60" s="18"/>
      <c r="R60" s="18"/>
      <c r="S60" s="18"/>
      <c r="T60" s="18"/>
      <c r="U60" s="18"/>
      <c r="V60" s="19"/>
    </row>
    <row r="61" spans="6:22" x14ac:dyDescent="0.25">
      <c r="F61" s="32">
        <v>53</v>
      </c>
      <c r="G61" s="32">
        <v>2</v>
      </c>
      <c r="I61" s="32">
        <v>53</v>
      </c>
      <c r="J61" s="32">
        <v>1</v>
      </c>
      <c r="N61" s="17"/>
      <c r="O61" s="32" t="s">
        <v>28</v>
      </c>
      <c r="P61" s="32">
        <f xml:space="preserve"> 0.209</f>
        <v>0.20899999999999999</v>
      </c>
      <c r="Q61" s="18"/>
      <c r="R61" s="18"/>
      <c r="S61" s="18"/>
      <c r="T61" s="18"/>
      <c r="U61" s="18"/>
      <c r="V61" s="19"/>
    </row>
    <row r="62" spans="6:22" x14ac:dyDescent="0.25">
      <c r="F62" s="32">
        <v>54</v>
      </c>
      <c r="G62" s="32">
        <v>5</v>
      </c>
      <c r="I62" s="32">
        <v>54</v>
      </c>
      <c r="J62" s="32">
        <v>3</v>
      </c>
      <c r="N62" s="17"/>
      <c r="O62" s="29"/>
      <c r="P62" s="29"/>
      <c r="Q62" s="18"/>
      <c r="R62" s="18"/>
      <c r="S62" s="18"/>
      <c r="T62" s="18"/>
      <c r="U62" s="18"/>
      <c r="V62" s="19"/>
    </row>
    <row r="63" spans="6:22" x14ac:dyDescent="0.25">
      <c r="F63" s="32">
        <v>55</v>
      </c>
      <c r="G63" s="32">
        <v>4</v>
      </c>
      <c r="I63" s="32">
        <v>55</v>
      </c>
      <c r="J63" s="32">
        <v>1</v>
      </c>
      <c r="N63" s="17"/>
      <c r="O63" s="30" t="s">
        <v>29</v>
      </c>
      <c r="P63" s="30"/>
      <c r="Q63" s="18"/>
      <c r="R63" s="18"/>
      <c r="S63" s="18"/>
      <c r="T63" s="18"/>
      <c r="U63" s="18"/>
      <c r="V63" s="19"/>
    </row>
    <row r="64" spans="6:22" x14ac:dyDescent="0.25">
      <c r="F64" s="32">
        <v>56</v>
      </c>
      <c r="G64" s="32">
        <v>6</v>
      </c>
      <c r="I64" s="32">
        <v>56</v>
      </c>
      <c r="J64" s="32">
        <v>6</v>
      </c>
      <c r="N64" s="17"/>
      <c r="O64" s="32" t="s">
        <v>30</v>
      </c>
      <c r="P64" s="32">
        <f xml:space="preserve"> 100</f>
        <v>100</v>
      </c>
      <c r="Q64" s="18"/>
      <c r="R64" s="18"/>
      <c r="S64" s="18"/>
      <c r="T64" s="18"/>
      <c r="U64" s="18"/>
      <c r="V64" s="19"/>
    </row>
    <row r="65" spans="6:22" x14ac:dyDescent="0.25">
      <c r="F65" s="32">
        <v>57</v>
      </c>
      <c r="G65" s="32">
        <v>4</v>
      </c>
      <c r="I65" s="32">
        <v>57</v>
      </c>
      <c r="J65" s="32">
        <v>2</v>
      </c>
      <c r="N65" s="17"/>
      <c r="O65" s="32" t="s">
        <v>31</v>
      </c>
      <c r="P65" s="32">
        <f xml:space="preserve"> 1</f>
        <v>1</v>
      </c>
      <c r="Q65" s="18"/>
      <c r="R65" s="18"/>
      <c r="S65" s="18"/>
      <c r="T65" s="18"/>
      <c r="U65" s="18"/>
      <c r="V65" s="19"/>
    </row>
    <row r="66" spans="6:22" x14ac:dyDescent="0.25">
      <c r="F66" s="32">
        <v>58</v>
      </c>
      <c r="G66" s="32">
        <v>3</v>
      </c>
      <c r="I66" s="32">
        <v>58</v>
      </c>
      <c r="J66" s="32">
        <v>3</v>
      </c>
      <c r="N66" s="17"/>
      <c r="O66" s="32" t="s">
        <v>32</v>
      </c>
      <c r="P66" s="32">
        <f xml:space="preserve"> 7</f>
        <v>7</v>
      </c>
      <c r="Q66" s="18"/>
      <c r="R66" s="18"/>
      <c r="S66" s="18"/>
      <c r="T66" s="18"/>
      <c r="U66" s="18"/>
      <c r="V66" s="19"/>
    </row>
    <row r="67" spans="6:22" x14ac:dyDescent="0.25">
      <c r="F67" s="32">
        <v>59</v>
      </c>
      <c r="G67" s="32">
        <v>2</v>
      </c>
      <c r="I67" s="32">
        <v>59</v>
      </c>
      <c r="J67" s="32">
        <v>4</v>
      </c>
      <c r="N67" s="17"/>
      <c r="O67" s="32" t="s">
        <v>33</v>
      </c>
      <c r="P67" s="32">
        <f xml:space="preserve"> 2.7</f>
        <v>2.7</v>
      </c>
      <c r="Q67" s="18"/>
      <c r="R67" s="18"/>
      <c r="S67" s="18"/>
      <c r="T67" s="18"/>
      <c r="U67" s="18"/>
      <c r="V67" s="19"/>
    </row>
    <row r="68" spans="6:22" x14ac:dyDescent="0.25">
      <c r="F68" s="32">
        <v>60</v>
      </c>
      <c r="G68" s="32">
        <v>5</v>
      </c>
      <c r="I68" s="32">
        <v>60</v>
      </c>
      <c r="J68" s="32">
        <v>2</v>
      </c>
      <c r="N68" s="17"/>
      <c r="O68" s="32" t="s">
        <v>34</v>
      </c>
      <c r="P68" s="32">
        <f xml:space="preserve"> 1.26</f>
        <v>1.26</v>
      </c>
      <c r="Q68" s="18"/>
      <c r="R68" s="18"/>
      <c r="S68" s="18"/>
      <c r="T68" s="18"/>
      <c r="U68" s="18"/>
      <c r="V68" s="19"/>
    </row>
    <row r="69" spans="6:22" ht="15.75" thickBot="1" x14ac:dyDescent="0.3">
      <c r="F69" s="32">
        <v>61</v>
      </c>
      <c r="G69" s="32">
        <v>3</v>
      </c>
      <c r="I69" s="32">
        <v>61</v>
      </c>
      <c r="J69" s="32">
        <v>6</v>
      </c>
      <c r="N69" s="20"/>
      <c r="O69" s="21"/>
      <c r="P69" s="21"/>
      <c r="Q69" s="21"/>
      <c r="R69" s="21"/>
      <c r="S69" s="21"/>
      <c r="T69" s="21"/>
      <c r="U69" s="21"/>
      <c r="V69" s="22"/>
    </row>
    <row r="70" spans="6:22" x14ac:dyDescent="0.25">
      <c r="F70" s="32">
        <v>62</v>
      </c>
      <c r="G70" s="32">
        <v>4</v>
      </c>
      <c r="I70" s="32">
        <v>62</v>
      </c>
      <c r="J70" s="32">
        <v>3</v>
      </c>
    </row>
    <row r="71" spans="6:22" x14ac:dyDescent="0.25">
      <c r="F71" s="32">
        <v>63</v>
      </c>
      <c r="G71" s="32">
        <v>3</v>
      </c>
      <c r="I71" s="32">
        <v>63</v>
      </c>
      <c r="J71" s="32">
        <v>2</v>
      </c>
    </row>
    <row r="72" spans="6:22" x14ac:dyDescent="0.25">
      <c r="F72" s="32">
        <v>64</v>
      </c>
      <c r="G72" s="32">
        <v>3</v>
      </c>
      <c r="I72" s="32">
        <v>64</v>
      </c>
      <c r="J72" s="32">
        <v>2</v>
      </c>
    </row>
    <row r="73" spans="6:22" x14ac:dyDescent="0.25">
      <c r="F73" s="32">
        <v>65</v>
      </c>
      <c r="G73" s="32">
        <v>4</v>
      </c>
      <c r="I73" s="32">
        <v>65</v>
      </c>
      <c r="J73" s="32">
        <v>2</v>
      </c>
    </row>
    <row r="74" spans="6:22" x14ac:dyDescent="0.25">
      <c r="F74" s="32">
        <v>66</v>
      </c>
      <c r="G74" s="32">
        <v>2</v>
      </c>
      <c r="I74" s="32">
        <v>66</v>
      </c>
      <c r="J74" s="32">
        <v>2</v>
      </c>
    </row>
    <row r="75" spans="6:22" x14ac:dyDescent="0.25">
      <c r="F75" s="32">
        <v>67</v>
      </c>
      <c r="G75" s="32">
        <v>1</v>
      </c>
      <c r="I75" s="32">
        <v>67</v>
      </c>
      <c r="J75" s="32">
        <v>2</v>
      </c>
    </row>
    <row r="76" spans="6:22" x14ac:dyDescent="0.25">
      <c r="F76" s="32">
        <v>68</v>
      </c>
      <c r="G76" s="32">
        <v>5</v>
      </c>
      <c r="I76" s="32">
        <v>68</v>
      </c>
      <c r="J76" s="32">
        <v>1</v>
      </c>
    </row>
    <row r="77" spans="6:22" x14ac:dyDescent="0.25">
      <c r="F77" s="32">
        <v>69</v>
      </c>
      <c r="G77" s="32">
        <v>7</v>
      </c>
      <c r="I77" s="32">
        <v>69</v>
      </c>
      <c r="J77" s="32">
        <v>3</v>
      </c>
    </row>
    <row r="78" spans="6:22" x14ac:dyDescent="0.25">
      <c r="F78" s="32">
        <v>70</v>
      </c>
      <c r="G78" s="32">
        <v>2</v>
      </c>
      <c r="I78" s="32">
        <v>70</v>
      </c>
      <c r="J78" s="32">
        <v>4</v>
      </c>
    </row>
    <row r="79" spans="6:22" x14ac:dyDescent="0.25">
      <c r="F79" s="32">
        <v>71</v>
      </c>
      <c r="G79" s="32">
        <v>4</v>
      </c>
      <c r="I79" s="32">
        <v>71</v>
      </c>
      <c r="J79" s="32">
        <v>2</v>
      </c>
    </row>
    <row r="80" spans="6:22" x14ac:dyDescent="0.25">
      <c r="F80" s="32">
        <v>72</v>
      </c>
      <c r="G80" s="32">
        <v>2</v>
      </c>
      <c r="I80" s="32">
        <v>72</v>
      </c>
      <c r="J80" s="32">
        <v>2</v>
      </c>
    </row>
    <row r="81" spans="6:10" x14ac:dyDescent="0.25">
      <c r="F81" s="32">
        <v>73</v>
      </c>
      <c r="G81" s="32">
        <v>2</v>
      </c>
      <c r="I81" s="32">
        <v>73</v>
      </c>
      <c r="J81" s="32">
        <v>1</v>
      </c>
    </row>
    <row r="82" spans="6:10" x14ac:dyDescent="0.25">
      <c r="F82" s="32">
        <v>74</v>
      </c>
      <c r="G82" s="32">
        <v>3</v>
      </c>
      <c r="I82" s="32">
        <v>74</v>
      </c>
      <c r="J82" s="32">
        <v>1</v>
      </c>
    </row>
    <row r="83" spans="6:10" x14ac:dyDescent="0.25">
      <c r="F83" s="32">
        <v>75</v>
      </c>
      <c r="G83" s="32">
        <v>4</v>
      </c>
      <c r="I83" s="32">
        <v>75</v>
      </c>
      <c r="J83" s="32">
        <v>3</v>
      </c>
    </row>
    <row r="84" spans="6:10" x14ac:dyDescent="0.25">
      <c r="F84" s="32">
        <v>76</v>
      </c>
      <c r="G84" s="32">
        <v>1</v>
      </c>
      <c r="I84" s="32">
        <v>76</v>
      </c>
      <c r="J84" s="32">
        <v>3</v>
      </c>
    </row>
    <row r="85" spans="6:10" x14ac:dyDescent="0.25">
      <c r="F85" s="32">
        <v>77</v>
      </c>
      <c r="G85" s="32">
        <v>1</v>
      </c>
      <c r="I85" s="32">
        <v>77</v>
      </c>
      <c r="J85" s="32">
        <v>7</v>
      </c>
    </row>
    <row r="86" spans="6:10" x14ac:dyDescent="0.25">
      <c r="F86" s="32">
        <v>78</v>
      </c>
      <c r="G86" s="32">
        <v>8</v>
      </c>
      <c r="I86" s="32">
        <v>78</v>
      </c>
      <c r="J86" s="32">
        <v>2</v>
      </c>
    </row>
    <row r="87" spans="6:10" x14ac:dyDescent="0.25">
      <c r="F87" s="32">
        <v>79</v>
      </c>
      <c r="G87" s="32">
        <v>2</v>
      </c>
      <c r="I87" s="32">
        <v>79</v>
      </c>
      <c r="J87" s="32">
        <v>3</v>
      </c>
    </row>
    <row r="88" spans="6:10" x14ac:dyDescent="0.25">
      <c r="F88" s="32">
        <v>80</v>
      </c>
      <c r="G88" s="32">
        <v>3</v>
      </c>
      <c r="I88" s="32">
        <v>80</v>
      </c>
      <c r="J88" s="32">
        <v>2</v>
      </c>
    </row>
    <row r="89" spans="6:10" x14ac:dyDescent="0.25">
      <c r="F89" s="32">
        <v>81</v>
      </c>
      <c r="G89" s="32">
        <v>2</v>
      </c>
      <c r="I89" s="32">
        <v>81</v>
      </c>
      <c r="J89" s="32">
        <v>4</v>
      </c>
    </row>
    <row r="90" spans="6:10" x14ac:dyDescent="0.25">
      <c r="F90" s="32">
        <v>82</v>
      </c>
      <c r="G90" s="32">
        <v>1</v>
      </c>
      <c r="I90" s="32">
        <v>82</v>
      </c>
      <c r="J90" s="32">
        <v>2</v>
      </c>
    </row>
    <row r="91" spans="6:10" x14ac:dyDescent="0.25">
      <c r="F91" s="32">
        <v>83</v>
      </c>
      <c r="G91" s="32">
        <v>1</v>
      </c>
      <c r="I91" s="32">
        <v>83</v>
      </c>
      <c r="J91" s="32">
        <v>3</v>
      </c>
    </row>
    <row r="92" spans="6:10" x14ac:dyDescent="0.25">
      <c r="F92" s="32">
        <v>84</v>
      </c>
      <c r="G92" s="32">
        <v>6</v>
      </c>
      <c r="I92" s="32">
        <v>84</v>
      </c>
      <c r="J92" s="32">
        <v>2</v>
      </c>
    </row>
    <row r="93" spans="6:10" x14ac:dyDescent="0.25">
      <c r="F93" s="32">
        <v>85</v>
      </c>
      <c r="G93" s="32">
        <v>5</v>
      </c>
      <c r="I93" s="32">
        <v>85</v>
      </c>
      <c r="J93" s="32">
        <v>3</v>
      </c>
    </row>
    <row r="94" spans="6:10" x14ac:dyDescent="0.25">
      <c r="F94" s="32">
        <v>86</v>
      </c>
      <c r="G94" s="32">
        <v>4</v>
      </c>
      <c r="I94" s="32">
        <v>86</v>
      </c>
      <c r="J94" s="32">
        <v>2</v>
      </c>
    </row>
    <row r="95" spans="6:10" x14ac:dyDescent="0.25">
      <c r="F95" s="32">
        <v>87</v>
      </c>
      <c r="G95" s="32">
        <v>3</v>
      </c>
      <c r="I95" s="32">
        <v>87</v>
      </c>
      <c r="J95" s="32">
        <v>4</v>
      </c>
    </row>
    <row r="96" spans="6:10" x14ac:dyDescent="0.25">
      <c r="F96" s="32">
        <v>88</v>
      </c>
      <c r="G96" s="32">
        <v>6</v>
      </c>
      <c r="I96" s="32">
        <v>88</v>
      </c>
      <c r="J96" s="32">
        <v>3</v>
      </c>
    </row>
    <row r="97" spans="6:10" x14ac:dyDescent="0.25">
      <c r="F97" s="32">
        <v>89</v>
      </c>
      <c r="G97" s="32">
        <v>5</v>
      </c>
      <c r="I97" s="32">
        <v>89</v>
      </c>
      <c r="J97" s="32">
        <v>2</v>
      </c>
    </row>
    <row r="98" spans="6:10" x14ac:dyDescent="0.25">
      <c r="F98" s="32">
        <v>90</v>
      </c>
      <c r="G98" s="32">
        <v>2</v>
      </c>
      <c r="I98" s="32">
        <v>90</v>
      </c>
      <c r="J98" s="32">
        <v>1</v>
      </c>
    </row>
    <row r="99" spans="6:10" x14ac:dyDescent="0.25">
      <c r="F99" s="32">
        <v>91</v>
      </c>
      <c r="G99" s="32">
        <v>5</v>
      </c>
      <c r="I99" s="32">
        <v>91</v>
      </c>
      <c r="J99" s="32">
        <v>2</v>
      </c>
    </row>
    <row r="100" spans="6:10" x14ac:dyDescent="0.25">
      <c r="F100" s="32">
        <v>92</v>
      </c>
      <c r="G100" s="32">
        <v>3</v>
      </c>
      <c r="I100" s="32">
        <v>92</v>
      </c>
      <c r="J100" s="32">
        <v>2</v>
      </c>
    </row>
    <row r="101" spans="6:10" x14ac:dyDescent="0.25">
      <c r="F101" s="32">
        <v>93</v>
      </c>
      <c r="G101" s="32">
        <v>3</v>
      </c>
      <c r="I101" s="32">
        <v>93</v>
      </c>
      <c r="J101" s="32">
        <v>2</v>
      </c>
    </row>
    <row r="102" spans="6:10" x14ac:dyDescent="0.25">
      <c r="F102" s="32">
        <v>94</v>
      </c>
      <c r="G102" s="32">
        <v>1</v>
      </c>
      <c r="I102" s="32">
        <v>94</v>
      </c>
      <c r="J102" s="32">
        <v>3</v>
      </c>
    </row>
    <row r="103" spans="6:10" x14ac:dyDescent="0.25">
      <c r="F103" s="32">
        <v>95</v>
      </c>
      <c r="G103" s="32">
        <v>2</v>
      </c>
      <c r="I103" s="32">
        <v>95</v>
      </c>
      <c r="J103" s="32">
        <v>2</v>
      </c>
    </row>
    <row r="104" spans="6:10" x14ac:dyDescent="0.25">
      <c r="F104" s="32">
        <v>96</v>
      </c>
      <c r="G104" s="32">
        <v>2</v>
      </c>
      <c r="I104" s="32">
        <v>96</v>
      </c>
      <c r="J104" s="32">
        <v>3</v>
      </c>
    </row>
    <row r="105" spans="6:10" x14ac:dyDescent="0.25">
      <c r="F105" s="32">
        <v>97</v>
      </c>
      <c r="G105" s="32">
        <v>3</v>
      </c>
      <c r="I105" s="32">
        <v>97</v>
      </c>
      <c r="J105" s="32">
        <v>3</v>
      </c>
    </row>
    <row r="106" spans="6:10" x14ac:dyDescent="0.25">
      <c r="F106" s="32">
        <v>98</v>
      </c>
      <c r="G106" s="32">
        <v>1</v>
      </c>
      <c r="I106" s="32">
        <v>98</v>
      </c>
      <c r="J106" s="32">
        <v>4</v>
      </c>
    </row>
    <row r="107" spans="6:10" x14ac:dyDescent="0.25">
      <c r="F107" s="32">
        <v>99</v>
      </c>
      <c r="G107" s="32">
        <v>3</v>
      </c>
      <c r="I107" s="32">
        <v>99</v>
      </c>
      <c r="J107" s="32">
        <v>3</v>
      </c>
    </row>
    <row r="108" spans="6:10" x14ac:dyDescent="0.25">
      <c r="F108" s="32">
        <v>100</v>
      </c>
      <c r="G108" s="32">
        <v>2</v>
      </c>
      <c r="I108" s="32">
        <v>100</v>
      </c>
      <c r="J108" s="32">
        <v>2</v>
      </c>
    </row>
  </sheetData>
  <mergeCells count="18">
    <mergeCell ref="O57:P57"/>
    <mergeCell ref="O63:P63"/>
    <mergeCell ref="O10:R10"/>
    <mergeCell ref="E3:F3"/>
    <mergeCell ref="G3:H3"/>
    <mergeCell ref="O41:R41"/>
    <mergeCell ref="O32:P32"/>
    <mergeCell ref="O26:P26"/>
    <mergeCell ref="Q1:U6"/>
    <mergeCell ref="J3:K3"/>
    <mergeCell ref="L3:M3"/>
    <mergeCell ref="E1:H1"/>
    <mergeCell ref="J1:M1"/>
    <mergeCell ref="E2:F2"/>
    <mergeCell ref="G2:H2"/>
    <mergeCell ref="J2:K2"/>
    <mergeCell ref="L2:M2"/>
    <mergeCell ref="F6:J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e</dc:creator>
  <cp:lastModifiedBy>mnmea</cp:lastModifiedBy>
  <dcterms:created xsi:type="dcterms:W3CDTF">2021-11-21T15:05:22Z</dcterms:created>
  <dcterms:modified xsi:type="dcterms:W3CDTF">2021-12-04T19:41:18Z</dcterms:modified>
</cp:coreProperties>
</file>